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ticles" sheetId="1" r:id="rId5"/>
    <sheet state="visible" name="Statistics" sheetId="2" r:id="rId6"/>
    <sheet state="visible" name="Category Summary" sheetId="3" r:id="rId7"/>
  </sheets>
  <definedNames/>
  <calcPr/>
</workbook>
</file>

<file path=xl/sharedStrings.xml><?xml version="1.0" encoding="utf-8"?>
<sst xmlns="http://schemas.openxmlformats.org/spreadsheetml/2006/main" count="65" uniqueCount="57">
  <si>
    <t>ID</t>
  </si>
  <si>
    <t>Title</t>
  </si>
  <si>
    <t>Source</t>
  </si>
  <si>
    <t>Author</t>
  </si>
  <si>
    <t>Published Date</t>
  </si>
  <si>
    <t>Word Count</t>
  </si>
  <si>
    <t>Category</t>
  </si>
  <si>
    <t>GLP-1s have transformed weight loss and diabetes. Is addiction next?</t>
  </si>
  <si>
    <t>NPR</t>
  </si>
  <si>
    <t>Jon Hamilton</t>
  </si>
  <si>
    <t>2026-03-10</t>
  </si>
  <si>
    <t>Pharmacology</t>
  </si>
  <si>
    <t>Mediterranean Diet Linked to Lower Risk of Heart Disease</t>
  </si>
  <si>
    <t>WebMD</t>
  </si>
  <si>
    <t>Sarah Klein</t>
  </si>
  <si>
    <t>2026-03-08</t>
  </si>
  <si>
    <t>Nutrition</t>
  </si>
  <si>
    <t>7 Science-Backed Benefits of Intermittent Fasting</t>
  </si>
  <si>
    <t>Healthline</t>
  </si>
  <si>
    <t>Rachael Ajmera</t>
  </si>
  <si>
    <t>2026-03-05</t>
  </si>
  <si>
    <t>Mental Health and Exercise: What's the Connection?</t>
  </si>
  <si>
    <t>Mayo Clinic</t>
  </si>
  <si>
    <t>2026-03-01</t>
  </si>
  <si>
    <t>Mental Health</t>
  </si>
  <si>
    <t>Ultra-processed foods linked to early death, major study finds</t>
  </si>
  <si>
    <t>BBC Health</t>
  </si>
  <si>
    <t>James Gallagher</t>
  </si>
  <si>
    <t>2026-02-25</t>
  </si>
  <si>
    <t>Total Words:</t>
  </si>
  <si>
    <t>Metric</t>
  </si>
  <si>
    <t>Value</t>
  </si>
  <si>
    <t>Formula Used</t>
  </si>
  <si>
    <t>Notes</t>
  </si>
  <si>
    <t>Total Articles</t>
  </si>
  <si>
    <t>COUNTA</t>
  </si>
  <si>
    <t>Count of article IDs</t>
  </si>
  <si>
    <t>Total Word Count</t>
  </si>
  <si>
    <t>SUM</t>
  </si>
  <si>
    <t>Sum of all word counts</t>
  </si>
  <si>
    <t>Average Word Count</t>
  </si>
  <si>
    <t>AVERAGE</t>
  </si>
  <si>
    <t>Mean words per article</t>
  </si>
  <si>
    <t>Max Word Count</t>
  </si>
  <si>
    <t>MAX</t>
  </si>
  <si>
    <t>Longest article</t>
  </si>
  <si>
    <t>Min Word Count</t>
  </si>
  <si>
    <t>MIN</t>
  </si>
  <si>
    <t>Shortest article</t>
  </si>
  <si>
    <t>Nutrition Articles</t>
  </si>
  <si>
    <t>COUNTIF</t>
  </si>
  <si>
    <t>Articles in Nutrition category</t>
  </si>
  <si>
    <t>Most Recent Date</t>
  </si>
  <si>
    <t>Latest published date</t>
  </si>
  <si>
    <t>Count</t>
  </si>
  <si>
    <t>% of Total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</si>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</sst>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5">
    <font>
      <sz val="11.0"/>
      <color theme="1"/>
      <name val="Calibri"/>
      <scheme val="minor"/>
    </font>
    <font>
      <b/>
      <color rgb="FFFFFFFF"/>
      <name val="Arial"/>
    </font>
    <font>
      <sz val="10.0"/>
      <color theme="1"/>
      <name val="Arial"/>
    </font>
    <font>
      <b/>
      <color theme="1"/>
      <name val="Arial"/>
    </font>
    <font>
      <b/>
      <color rgb="FF1A6B4A"/>
      <name val="Arial"/>
    </font>
  </fonts>
  <fills count="5">
    <fill>
      <patternFill patternType="none"/>
    </fill>
    <fill>
      <patternFill patternType="lightGray"/>
    </fill>
    <fill>
      <patternFill patternType="solid">
        <fgColor rgb="FF2E4057"/>
        <bgColor rgb="FF2E4057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3" fontId="2" numFmtId="0" xfId="0" applyAlignment="1" applyBorder="1" applyFill="1" applyFont="1">
      <alignment vertical="center"/>
    </xf>
    <xf borderId="1" fillId="4" fontId="2" numFmtId="0" xfId="0" applyAlignment="1" applyBorder="1" applyFill="1" applyFont="1">
      <alignment vertical="center"/>
    </xf>
    <xf borderId="0" fillId="0" fontId="3" numFmtId="0" xfId="0" applyFont="1"/>
    <xf borderId="0" fillId="0" fontId="4" numFmtId="0" xfId="0" applyFont="1"/>
    <xf borderId="1" fillId="2" fontId="1" numFmtId="0" xfId="0" applyAlignment="1" applyBorder="1" applyFont="1">
      <alignment horizontal="center"/>
    </xf>
    <xf borderId="1" fillId="3" fontId="2" numFmtId="0" xfId="0" applyBorder="1" applyFont="1"/>
    <xf borderId="1" fillId="4" fontId="2" numFmtId="0" xfId="0" applyBorder="1" applyFont="1"/>
    <xf borderId="1" fillId="2" fontId="1" numFmtId="0" xfId="0" applyAlignment="1" applyBorder="1" applyFont="1">
      <alignment horizontal="center"/>
    </xf>
    <xf borderId="0" fillId="0" fontId="2" numFmtId="0" xfId="0" applyFont="1"/>
    <xf borderId="0" fillId="0" fontId="2" numFmtId="164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2">
    <tableStyle count="3" pivot="0" name="Articles-style">
      <tableStyleElement dxfId="1" type="headerRow"/>
      <tableStyleElement dxfId="2" type="firstRowStripe"/>
      <tableStyleElement dxfId="3" type="secondRowStripe"/>
    </tableStyle>
    <tableStyle count="3" pivot="0" name="Statistics-style">
      <tableStyleElement dxfId="1" type="headerRow"/>
      <tableStyleElement dxfId="3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6" displayName="Table_1" name="Table_1" id="1">
  <tableColumns count="7">
    <tableColumn name="ID" id="1"/>
    <tableColumn name="Title" id="2"/>
    <tableColumn name="Source" id="3"/>
    <tableColumn name="Author" id="4"/>
    <tableColumn name="Published Date" id="5"/>
    <tableColumn name="Word Count" id="6"/>
    <tableColumn name="Category" id="7"/>
  </tableColumns>
  <tableStyleInfo name="Articles-style" showColumnStripes="0" showFirstColumn="1" showLastColumn="1" showRowStripes="1"/>
</table>
</file>

<file path=xl/tables/table2.xml><?xml version="1.0" encoding="utf-8"?>
<table xmlns="http://schemas.openxmlformats.org/spreadsheetml/2006/main" ref="A1:D8" displayName="Table_2" name="Table_2" id="2">
  <tableColumns count="4">
    <tableColumn name="Metric" id="1"/>
    <tableColumn name="Value" id="2"/>
    <tableColumn name="Formula Used" id="3"/>
    <tableColumn name="Notes" id="4"/>
  </tableColumns>
  <tableStyleInfo name="Statistic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60.0"/>
    <col customWidth="1" min="3" max="3" width="14.0"/>
    <col customWidth="1" min="4" max="4" width="18.0"/>
    <col customWidth="1" min="5" max="5" width="16.0"/>
    <col customWidth="1" min="6" max="6" width="13.0"/>
    <col customWidth="1" min="7" max="7" width="15.0"/>
    <col customWidth="1" min="8" max="26" width="8.71"/>
  </cols>
  <sheetData>
    <row r="1" ht="21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1.0</v>
      </c>
      <c r="B2" s="2" t="s">
        <v>7</v>
      </c>
      <c r="C2" s="2" t="s">
        <v>8</v>
      </c>
      <c r="D2" s="2" t="s">
        <v>9</v>
      </c>
      <c r="E2" s="2" t="s">
        <v>10</v>
      </c>
      <c r="F2" s="2">
        <v>520.0</v>
      </c>
      <c r="G2" s="2" t="s">
        <v>11</v>
      </c>
    </row>
    <row r="3">
      <c r="A3" s="3">
        <v>2.0</v>
      </c>
      <c r="B3" s="3" t="s">
        <v>12</v>
      </c>
      <c r="C3" s="3" t="s">
        <v>13</v>
      </c>
      <c r="D3" s="3" t="s">
        <v>14</v>
      </c>
      <c r="E3" s="3" t="s">
        <v>15</v>
      </c>
      <c r="F3" s="3">
        <v>410.0</v>
      </c>
      <c r="G3" s="3" t="s">
        <v>16</v>
      </c>
    </row>
    <row r="4">
      <c r="A4" s="2">
        <v>3.0</v>
      </c>
      <c r="B4" s="2" t="s">
        <v>17</v>
      </c>
      <c r="C4" s="2" t="s">
        <v>18</v>
      </c>
      <c r="D4" s="2" t="s">
        <v>19</v>
      </c>
      <c r="E4" s="2" t="s">
        <v>20</v>
      </c>
      <c r="F4" s="2">
        <v>380.0</v>
      </c>
      <c r="G4" s="2" t="s">
        <v>16</v>
      </c>
    </row>
    <row r="5">
      <c r="A5" s="3">
        <v>4.0</v>
      </c>
      <c r="B5" s="3" t="s">
        <v>21</v>
      </c>
      <c r="C5" s="3" t="s">
        <v>22</v>
      </c>
      <c r="D5" s="3" t="s">
        <v>22</v>
      </c>
      <c r="E5" s="3" t="s">
        <v>23</v>
      </c>
      <c r="F5" s="3">
        <v>470.0</v>
      </c>
      <c r="G5" s="3" t="s">
        <v>24</v>
      </c>
    </row>
    <row r="6">
      <c r="A6" s="2">
        <v>5.0</v>
      </c>
      <c r="B6" s="2" t="s">
        <v>25</v>
      </c>
      <c r="C6" s="2" t="s">
        <v>26</v>
      </c>
      <c r="D6" s="2" t="s">
        <v>27</v>
      </c>
      <c r="E6" s="2" t="s">
        <v>28</v>
      </c>
      <c r="F6" s="2">
        <v>490.0</v>
      </c>
      <c r="G6" s="2" t="s">
        <v>16</v>
      </c>
    </row>
    <row r="7">
      <c r="E7" s="4" t="s">
        <v>29</v>
      </c>
      <c r="F7" s="5">
        <f>SUM(F2:F6)</f>
        <v>2270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36.0"/>
    <col customWidth="1" min="3" max="3" width="16.0"/>
    <col customWidth="1" min="4" max="4" width="30.0"/>
    <col customWidth="1" min="5" max="26" width="8.71"/>
  </cols>
  <sheetData>
    <row r="1">
      <c r="A1" s="6" t="s">
        <v>30</v>
      </c>
      <c r="B1" s="6" t="s">
        <v>31</v>
      </c>
      <c r="C1" s="6" t="s">
        <v>32</v>
      </c>
      <c r="D1" s="6" t="s">
        <v>33</v>
      </c>
    </row>
    <row r="2">
      <c r="A2" s="7" t="s">
        <v>34</v>
      </c>
      <c r="B2" s="7">
        <f>COUNTA(Articles!A2:A6)</f>
        <v>5</v>
      </c>
      <c r="C2" s="7" t="s">
        <v>35</v>
      </c>
      <c r="D2" s="7" t="s">
        <v>36</v>
      </c>
    </row>
    <row r="3">
      <c r="A3" s="8" t="s">
        <v>37</v>
      </c>
      <c r="B3" s="8">
        <f>SUM(Articles!F2:F6)</f>
        <v>2270</v>
      </c>
      <c r="C3" s="8" t="s">
        <v>38</v>
      </c>
      <c r="D3" s="8" t="s">
        <v>39</v>
      </c>
    </row>
    <row r="4">
      <c r="A4" s="7" t="s">
        <v>40</v>
      </c>
      <c r="B4" s="7">
        <f>AVERAGE(Articles!F2:F6)</f>
        <v>454</v>
      </c>
      <c r="C4" s="7" t="s">
        <v>41</v>
      </c>
      <c r="D4" s="7" t="s">
        <v>42</v>
      </c>
    </row>
    <row r="5">
      <c r="A5" s="8" t="s">
        <v>43</v>
      </c>
      <c r="B5" s="8">
        <f>MAX(Articles!F2:F6)</f>
        <v>520</v>
      </c>
      <c r="C5" s="8" t="s">
        <v>44</v>
      </c>
      <c r="D5" s="8" t="s">
        <v>45</v>
      </c>
    </row>
    <row r="6">
      <c r="A6" s="7" t="s">
        <v>46</v>
      </c>
      <c r="B6" s="7">
        <f>MIN(Articles!F2:F6)</f>
        <v>380</v>
      </c>
      <c r="C6" s="7" t="s">
        <v>47</v>
      </c>
      <c r="D6" s="7" t="s">
        <v>48</v>
      </c>
    </row>
    <row r="7">
      <c r="A7" s="8" t="s">
        <v>49</v>
      </c>
      <c r="B7" s="8">
        <f>COUNTIF(Articles!G2:G6,"Nutrition")</f>
        <v>3</v>
      </c>
      <c r="C7" s="8" t="s">
        <v>50</v>
      </c>
      <c r="D7" s="8" t="s">
        <v>51</v>
      </c>
    </row>
    <row r="8">
      <c r="A8" s="7" t="s">
        <v>52</v>
      </c>
      <c r="B8" s="7">
        <f>MAX(Articles!E2:E6)</f>
        <v>0</v>
      </c>
      <c r="C8" s="7" t="s">
        <v>44</v>
      </c>
      <c r="D8" s="7" t="s">
        <v>53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10.0"/>
    <col customWidth="1" min="3" max="3" width="14.0"/>
    <col customWidth="1" min="4" max="26" width="8.71"/>
  </cols>
  <sheetData>
    <row r="1">
      <c r="A1" s="9" t="s">
        <v>6</v>
      </c>
      <c r="B1" s="9" t="s">
        <v>54</v>
      </c>
      <c r="C1" s="9" t="s">
        <v>55</v>
      </c>
    </row>
    <row r="2">
      <c r="A2" s="10" t="s">
        <v>16</v>
      </c>
      <c r="B2" s="10">
        <f>COUNTIF(Articles!G2:G6,"Nutrition")</f>
        <v>3</v>
      </c>
      <c r="C2" s="11">
        <f>B2/SUM(B2:B4)</f>
        <v>0.6</v>
      </c>
    </row>
    <row r="3">
      <c r="A3" s="10" t="s">
        <v>11</v>
      </c>
      <c r="B3" s="10">
        <f>COUNTIF(Articles!G2:G6,"Pharmacology")</f>
        <v>1</v>
      </c>
      <c r="C3" s="11">
        <f>B3/SUM(B2:B4)</f>
        <v>0.2</v>
      </c>
    </row>
    <row r="4">
      <c r="A4" s="10" t="s">
        <v>24</v>
      </c>
      <c r="B4" s="10">
        <f>COUNTIF(Articles!G2:G6,"Mental Health")</f>
        <v>1</v>
      </c>
      <c r="C4" s="11">
        <f>B4/SUM(B2:B4)</f>
        <v>0.2</v>
      </c>
    </row>
    <row r="5">
      <c r="A5" s="4" t="s">
        <v>56</v>
      </c>
      <c r="B5" s="4">
        <f>SUM(B2:B4)</f>
        <v>5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1.0" footer="0.0" header="0.0" left="0.75" right="0.75" top="1.0"/>
  <pageSetup orientation="landscape"/>
  <drawing r:id="rId1"/>
</worksheet>
</file>